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odor\Downloads\"/>
    </mc:Choice>
  </mc:AlternateContent>
  <xr:revisionPtr revIDLastSave="0" documentId="13_ncr:1_{312C18C9-1E54-428E-B45C-20463599278C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Kalkulator" sheetId="1" r:id="rId1"/>
    <sheet name="Instrukcja" sheetId="2" r:id="rId2"/>
    <sheet name="Analiza strat i OE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3" l="1"/>
  <c r="D35" i="1"/>
  <c r="D36" i="1" s="1"/>
  <c r="D40" i="1" s="1"/>
  <c r="E42" i="3"/>
  <c r="D42" i="3"/>
  <c r="C42" i="3"/>
  <c r="E27" i="3"/>
  <c r="E41" i="3" s="1"/>
  <c r="E26" i="3"/>
  <c r="E25" i="3"/>
  <c r="D25" i="3"/>
  <c r="C25" i="3"/>
  <c r="E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2" i="3"/>
  <c r="E44" i="1"/>
  <c r="D44" i="1"/>
  <c r="D12" i="3" s="1"/>
  <c r="C44" i="1"/>
  <c r="C12" i="3" s="1"/>
  <c r="E43" i="1"/>
  <c r="E31" i="3" s="1"/>
  <c r="E32" i="3" s="1"/>
  <c r="E42" i="1"/>
  <c r="D42" i="1"/>
  <c r="C42" i="1"/>
  <c r="E36" i="1"/>
  <c r="E43" i="3" s="1"/>
  <c r="E35" i="1"/>
  <c r="C35" i="1"/>
  <c r="C36" i="1" s="1"/>
  <c r="D21" i="3" l="1"/>
  <c r="D43" i="1"/>
  <c r="D34" i="3" s="1"/>
  <c r="D26" i="3"/>
  <c r="D27" i="3" s="1"/>
  <c r="D41" i="3" s="1"/>
  <c r="E37" i="1"/>
  <c r="E39" i="1" s="1"/>
  <c r="E41" i="1"/>
  <c r="D38" i="1"/>
  <c r="E38" i="1"/>
  <c r="E40" i="1"/>
  <c r="C21" i="3"/>
  <c r="C40" i="1"/>
  <c r="C38" i="1"/>
  <c r="C37" i="1"/>
  <c r="C39" i="1" s="1"/>
  <c r="C41" i="1"/>
  <c r="C26" i="3"/>
  <c r="C27" i="3" s="1"/>
  <c r="C41" i="3" s="1"/>
  <c r="C43" i="1"/>
  <c r="D41" i="1"/>
  <c r="E33" i="3"/>
  <c r="E35" i="3" s="1"/>
  <c r="E36" i="3" s="1"/>
  <c r="E44" i="3" s="1"/>
  <c r="C43" i="3"/>
  <c r="D43" i="3"/>
  <c r="D37" i="1"/>
  <c r="D39" i="1" s="1"/>
  <c r="E34" i="3"/>
  <c r="D32" i="3" l="1"/>
  <c r="D33" i="3"/>
  <c r="D35" i="3" s="1"/>
  <c r="D36" i="3" s="1"/>
  <c r="D44" i="3" s="1"/>
  <c r="C34" i="3"/>
  <c r="C33" i="3"/>
  <c r="C31" i="3"/>
  <c r="C32" i="3" s="1"/>
  <c r="C35" i="3" l="1"/>
  <c r="C36" i="3" s="1"/>
  <c r="C44" i="3" s="1"/>
</calcChain>
</file>

<file path=xl/sharedStrings.xml><?xml version="1.0" encoding="utf-8"?>
<sst xmlns="http://schemas.openxmlformats.org/spreadsheetml/2006/main" count="109" uniqueCount="90">
  <si>
    <t>BYSTRYM OKIEM</t>
  </si>
  <si>
    <t>bystrymokiem.pl</t>
  </si>
  <si>
    <t>KALKULATOR TAKT TIME</t>
  </si>
  <si>
    <t>Ile czasu masz na wyprodukowanie jednej sztuki?</t>
  </si>
  <si>
    <t>▸  PARAMETRY ZMIANY</t>
  </si>
  <si>
    <t>ZMIANA A</t>
  </si>
  <si>
    <t>ZMIANA B</t>
  </si>
  <si>
    <t>ZMIANA C</t>
  </si>
  <si>
    <t>▸  1 — CZAS ZMIANY</t>
  </si>
  <si>
    <t>Czas zmiany (min)  [np. 480]</t>
  </si>
  <si>
    <t>Przerwy regulaminowe (min)  [np. 30]</t>
  </si>
  <si>
    <t>Mycie / sanityzacja (min)  [np. 20]</t>
  </si>
  <si>
    <t>Przygotowanie i zakończenie (min)  [np. 15]</t>
  </si>
  <si>
    <t>▸  2 — PRZEZBROJENIA NA ZMIANĘ</t>
  </si>
  <si>
    <t>Liczba przezbrojeń  [np. 3]</t>
  </si>
  <si>
    <t>Średni czas przezbrojenia (min)  [np. 25]</t>
  </si>
  <si>
    <t>▸  3 — INNE PLANOWANE PRZESTOJE (min)</t>
  </si>
  <si>
    <t>Konserwacja TPM / awarie planowe  [np. 10]</t>
  </si>
  <si>
    <t>▸  4 — ZAPOTRZEBOWANIE DOBOWE</t>
  </si>
  <si>
    <t>Zapotrzebowanie dobowe (szt.)</t>
  </si>
  <si>
    <t>Bufor bezpieczeństwa (%)</t>
  </si>
  <si>
    <t>▸  5 — OBSADA NA ZMIANĘ</t>
  </si>
  <si>
    <t>Operatorzy (obsługa maszyn)</t>
  </si>
  <si>
    <t>Liderzy / Brygadziści (nadzór)</t>
  </si>
  <si>
    <t>Pracownicy linii (za maszynami)</t>
  </si>
  <si>
    <t>▸  WYNIKI</t>
  </si>
  <si>
    <t>Czas netto produkcji na zmianę (min)</t>
  </si>
  <si>
    <t>Takt time  (min/szt.)</t>
  </si>
  <si>
    <t>Takt time z buforem  (min/szt.)</t>
  </si>
  <si>
    <t>Takt time  (sek/szt.)</t>
  </si>
  <si>
    <t>Takt time z buforem  (sek/szt.)</t>
  </si>
  <si>
    <t>Cycle time max na operatora  (min)</t>
  </si>
  <si>
    <t>Wydajność godzinowa  (szt./godz.)</t>
  </si>
  <si>
    <t>Łączne straty na zmianę  (min)</t>
  </si>
  <si>
    <t>Dostępność zmiany  (%)</t>
  </si>
  <si>
    <t>Łączna obsada na zmianę  (os.)</t>
  </si>
  <si>
    <t>© Teodor Doroba | bystrymokiem.pl | Bezpłatny do użytku własnego</t>
  </si>
  <si>
    <t>INSTRUKCJA — KALKULATOR TAKT TIME</t>
  </si>
  <si>
    <t>STRUKTURA ARKUSZA:</t>
  </si>
  <si>
    <t>Kolumny C / D / E  Zmiana A, Zmiana B, Zmiana C — każda zmiana ma własne parametry.</t>
  </si>
  <si>
    <t>Zapotrzebowanie i bufor  Wspólne dla całej doby — wpisujesz raz.</t>
  </si>
  <si>
    <t>JAK WYPEŁNIAĆ:</t>
  </si>
  <si>
    <t>Sekcja 1  Czas zmiany, przerwy regulaminowe, czas mycia linii, przygotowanie i zakończenie — osobno dla każdej zmiany.</t>
  </si>
  <si>
    <t>Sekcja 2  Liczba przezbrojeń i średni czas przezbrojenia — osobno dla każdej zmiany.</t>
  </si>
  <si>
    <t>Sekcja 3  Inne planowane przestoje (TPM, konserwacja) — osobno dla każdej zmiany.</t>
  </si>
  <si>
    <t>Sekcja 4  Zapotrzebowanie dobowe w sztukach i bufor — wspólne, wpisz raz.</t>
  </si>
  <si>
    <t>Sekcja 5  Obsada: operatorzy (przy maszynach), liderzy/brygadziści (nadzór), pracownicy linii (za maszynami).</t>
  </si>
  <si>
    <t>ROLE:</t>
  </si>
  <si>
    <t>Operator  Obsługuje maszynę bezpośrednio. Wchodzi do kalkulacji cycle time.</t>
  </si>
  <si>
    <t>Lider/Brygadzista  Nadzór bezpośredni. Nie wchodzi do kalkulacji cycle time — wchodzi do łącznej obsady.</t>
  </si>
  <si>
    <t>Pracownik linii  Praca za maszynami lub między maszynami. Wchodzi do łącznej obsady.</t>
  </si>
  <si>
    <t>DEFINICJE:</t>
  </si>
  <si>
    <t>Takt time:  Czas netto / Zapotrzebowanie. Tempo narzucone przez rynek.</t>
  </si>
  <si>
    <t>Cycle time max:  Takt time × liczba operatorów. Punkt wyjścia do balansowania linii.</t>
  </si>
  <si>
    <t>Dostępność:  Czas netto / Czas zmiany × 100%. Składowa OEE.</t>
  </si>
  <si>
    <t>Bufor:  Margines bezpieczeństwa. Takt time z buforem = takt time × (1 – bufor%).</t>
  </si>
  <si>
    <t>AUTOR:  Teodor Doroba | bystrymokiem.pl — o doskonaleniu produkcji</t>
  </si>
  <si>
    <t>BYSTRYM OKIEM — ANALIZA STRAT I OEE</t>
  </si>
  <si>
    <t>Zakładka powiązana z arkuszem Kalkulator — żółte pola uzupełnij tu</t>
  </si>
  <si>
    <t>▸  1 — DANE WEJŚCIOWE DO ANALIZY KOSZTÓW</t>
  </si>
  <si>
    <t>Standard wydajności (szt./h)  [np. 240]</t>
  </si>
  <si>
    <t>Marża jednostkowa (zł/szt.)  [lub zostaw puste i wpisz koszt straty ręcznie]</t>
  </si>
  <si>
    <t>Średni koszt pracownika brutto (zł/h)  [np. 35]</t>
  </si>
  <si>
    <t>Stały koszt linii (zł/h)  [amortyzacja, energia, najem — np. 180]</t>
  </si>
  <si>
    <t>Liczba pracowników na zmianę (z Kalkulatora)</t>
  </si>
  <si>
    <t>▸  2 — STRATY PLANOWANE NA ZMIANĘ (z Kalkulatora)</t>
  </si>
  <si>
    <t>Przerwy regulaminowe (min)</t>
  </si>
  <si>
    <t>Mycie / sanityzacja (min)</t>
  </si>
  <si>
    <t>Przygotowanie i zakończenie (min)</t>
  </si>
  <si>
    <t>Przezbrojenia — łącznie (min)</t>
  </si>
  <si>
    <t>Inne planowane przestoje (min)</t>
  </si>
  <si>
    <t>ŁĄCZNE STRATY NA ZMIANĘ (min)</t>
  </si>
  <si>
    <t>▸  3 — OEE: SKŁADOWA DOSTĘPNOŚCI</t>
  </si>
  <si>
    <t>Czas zmiany (min)</t>
  </si>
  <si>
    <t>Czas netto produkcji (min)</t>
  </si>
  <si>
    <t>DOSTĘPNOŚĆ (OEE składowa)  %</t>
  </si>
  <si>
    <t>▸  4 — KOSZT PRZESTOJÓW NA ZMIANĘ</t>
  </si>
  <si>
    <t>Utracone sztuki przez przestoje</t>
  </si>
  <si>
    <t>Koszt utraconej marży (zł)</t>
  </si>
  <si>
    <t>Koszt pracowników za czas przestoju (zł)</t>
  </si>
  <si>
    <t>Koszt stały linii za czas przestoju (zł)</t>
  </si>
  <si>
    <t>ŁĄCZNY KOSZT PRZESTOJÓW NA ZMIANĘ (zł)</t>
  </si>
  <si>
    <t>Szacunkowy koszt roczny (×250 dni roboczych)  zł</t>
  </si>
  <si>
    <t>▸  5 — SUGESTIE NA PODSTAWIE WYNIKÓW</t>
  </si>
  <si>
    <t>Sugestie generowane automatycznie — progi: dostępność &lt;85% = ostrzeżenie, &lt;75% = działanie</t>
  </si>
  <si>
    <t>Sugestia — dostępność</t>
  </si>
  <si>
    <t>Sugestia — przezbrojenia</t>
  </si>
  <si>
    <t>Sugestia — obsada vs takt time</t>
  </si>
  <si>
    <t>Sugestia — koszt przestoju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</si>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</sst>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%"/>
    <numFmt numFmtId="165" formatCode="0.0"/>
    <numFmt numFmtId="166" formatCode="#,##0.00&quot; zł&quot;"/>
    <numFmt numFmtId="167" formatCode="#,##0&quot; zł&quot;"/>
  </numFmts>
  <fonts count="17" x14ac:knownFonts="1">
    <font>
      <sz val="11"/>
      <color theme="1"/>
      <name val="Calibri"/>
      <family val="2"/>
      <charset val="1"/>
    </font>
    <font>
      <b/>
      <sz val="16"/>
      <color rgb="FF1A3D2B"/>
      <name val="Arial"/>
      <charset val="1"/>
    </font>
    <font>
      <sz val="9"/>
      <color rgb="FF888888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b/>
      <sz val="10"/>
      <color rgb="FF1A1A1A"/>
      <name val="Arial"/>
      <charset val="1"/>
    </font>
    <font>
      <b/>
      <sz val="10"/>
      <color rgb="FF1A3D2B"/>
      <name val="Arial"/>
      <charset val="1"/>
    </font>
    <font>
      <i/>
      <sz val="8"/>
      <color rgb="FFAAAAAA"/>
      <name val="Arial"/>
      <charset val="1"/>
    </font>
    <font>
      <b/>
      <sz val="13"/>
      <color rgb="FF1A3D2B"/>
      <name val="Arial"/>
      <charset val="1"/>
    </font>
    <font>
      <i/>
      <sz val="9"/>
      <color rgb="FF888888"/>
      <name val="Arial"/>
      <charset val="1"/>
    </font>
    <font>
      <b/>
      <sz val="11"/>
      <color rgb="FF1A3D2B"/>
      <name val="Arial"/>
      <charset val="1"/>
    </font>
    <font>
      <b/>
      <sz val="11"/>
      <color rgb="FFC0392B"/>
      <name val="Arial"/>
      <charset val="1"/>
    </font>
    <font>
      <b/>
      <sz val="10"/>
      <color rgb="FFC0392B"/>
      <name val="Arial"/>
      <charset val="1"/>
    </font>
    <font>
      <sz val="9"/>
      <color rgb="FF1A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D2B"/>
        <bgColor rgb="FF003300"/>
      </patternFill>
    </fill>
    <fill>
      <patternFill patternType="solid">
        <fgColor rgb="FF1A1A1A"/>
        <bgColor rgb="FF003300"/>
      </patternFill>
    </fill>
    <fill>
      <patternFill patternType="solid">
        <fgColor rgb="FFF5F5F5"/>
        <bgColor rgb="FFFFF9E6"/>
      </patternFill>
    </fill>
    <fill>
      <patternFill patternType="solid">
        <fgColor rgb="FFFFF9E6"/>
        <bgColor rgb="FFF5F5F5"/>
      </patternFill>
    </fill>
    <fill>
      <patternFill patternType="solid">
        <fgColor rgb="FFFFFFFF"/>
        <bgColor rgb="FFFFF9E6"/>
      </patternFill>
    </fill>
    <fill>
      <patternFill patternType="solid">
        <fgColor rgb="FFE8F0EB"/>
        <bgColor rgb="FFF5F5F5"/>
      </patternFill>
    </fill>
    <fill>
      <patternFill patternType="solid">
        <fgColor rgb="FFFDECEA"/>
        <bgColor rgb="FFF5F5F5"/>
      </patternFill>
    </fill>
    <fill>
      <patternFill patternType="solid">
        <fgColor rgb="FF7D3C98"/>
        <bgColor rgb="FF993366"/>
      </patternFill>
    </fill>
  </fills>
  <borders count="5"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3D2B"/>
      </left>
      <right style="thin">
        <color rgb="FF1A3D2B"/>
      </right>
      <top style="thin">
        <color rgb="FF1A3D2B"/>
      </top>
      <bottom style="thin">
        <color rgb="FF1A3D2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9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/>
    <xf numFmtId="0" fontId="6" fillId="3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2" fontId="6" fillId="6" borderId="3" xfId="0" applyNumberFormat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2" fontId="9" fillId="7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6" fillId="7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164" fontId="13" fillId="7" borderId="3" xfId="0" applyNumberFormat="1" applyFont="1" applyFill="1" applyBorder="1" applyAlignment="1">
      <alignment horizontal="center" vertical="center" wrapText="1"/>
    </xf>
    <xf numFmtId="165" fontId="6" fillId="6" borderId="3" xfId="0" applyNumberFormat="1" applyFont="1" applyFill="1" applyBorder="1" applyAlignment="1">
      <alignment horizontal="center" vertical="center" wrapText="1"/>
    </xf>
    <xf numFmtId="166" fontId="6" fillId="6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166" fontId="14" fillId="8" borderId="3" xfId="0" applyNumberFormat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167" fontId="15" fillId="8" borderId="3" xfId="0" applyNumberFormat="1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7D3C98"/>
      <rgbColor rgb="FFFFF9E6"/>
      <rgbColor rgb="FFE8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1A1A1A"/>
      <rgbColor rgb="FFC0392B"/>
      <rgbColor rgb="FF993366"/>
      <rgbColor rgb="FF333399"/>
      <rgbColor rgb="FF1A3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showGridLines="0" topLeftCell="A24" zoomScaleNormal="100" workbookViewId="0">
      <selection activeCell="D40" sqref="D40"/>
    </sheetView>
  </sheetViews>
  <sheetFormatPr defaultColWidth="8.6640625" defaultRowHeight="14.4" x14ac:dyDescent="0.3"/>
  <cols>
    <col min="1" max="1" width="2" style="13" customWidth="1"/>
    <col min="2" max="2" width="42" style="13" customWidth="1"/>
    <col min="3" max="3" width="10.21875" style="13" customWidth="1"/>
    <col min="4" max="4" width="11.88671875" style="13" customWidth="1"/>
    <col min="5" max="5" width="11.44140625" style="13" customWidth="1"/>
    <col min="6" max="6" width="2" style="13" customWidth="1"/>
  </cols>
  <sheetData>
    <row r="1" spans="2:13" ht="27" customHeight="1" x14ac:dyDescent="0.3"/>
    <row r="2" spans="2:13" ht="21.75" customHeight="1" x14ac:dyDescent="0.3">
      <c r="B2" s="12" t="s">
        <v>0</v>
      </c>
      <c r="C2" s="12"/>
      <c r="D2" s="12"/>
      <c r="E2" s="12"/>
    </row>
    <row r="3" spans="2:13" ht="15.75" customHeight="1" x14ac:dyDescent="0.3">
      <c r="B3" s="11" t="s">
        <v>1</v>
      </c>
      <c r="C3" s="11"/>
      <c r="D3" s="11"/>
      <c r="E3" s="11"/>
    </row>
    <row r="4" spans="2:13" ht="7.5" customHeight="1" x14ac:dyDescent="0.3">
      <c r="B4" s="10"/>
      <c r="C4" s="10"/>
      <c r="D4" s="10"/>
      <c r="E4" s="10"/>
    </row>
    <row r="5" spans="2:13" ht="31.5" customHeight="1" x14ac:dyDescent="0.3">
      <c r="B5" s="9" t="s">
        <v>2</v>
      </c>
      <c r="C5" s="9"/>
      <c r="D5" s="9"/>
      <c r="E5" s="9"/>
    </row>
    <row r="6" spans="2:13" ht="18" customHeight="1" x14ac:dyDescent="0.3">
      <c r="B6" s="8" t="s">
        <v>3</v>
      </c>
      <c r="C6" s="8"/>
      <c r="D6" s="8"/>
      <c r="E6" s="8"/>
    </row>
    <row r="7" spans="2:13" ht="9.75" customHeight="1" x14ac:dyDescent="0.3"/>
    <row r="8" spans="2:13" ht="16.2" customHeight="1" x14ac:dyDescent="0.3">
      <c r="B8" s="7" t="s">
        <v>4</v>
      </c>
      <c r="C8" s="7"/>
      <c r="D8" s="7"/>
      <c r="E8" s="7"/>
    </row>
    <row r="9" spans="2:13" ht="16.2" customHeight="1" x14ac:dyDescent="0.3">
      <c r="B9" s="14"/>
      <c r="C9" s="15" t="s">
        <v>5</v>
      </c>
      <c r="D9" s="15" t="s">
        <v>6</v>
      </c>
      <c r="E9" s="15" t="s">
        <v>7</v>
      </c>
    </row>
    <row r="10" spans="2:13" ht="16.2" customHeight="1" x14ac:dyDescent="0.3">
      <c r="B10" s="7" t="s">
        <v>8</v>
      </c>
      <c r="C10" s="7"/>
      <c r="D10" s="7"/>
      <c r="E10" s="7"/>
    </row>
    <row r="11" spans="2:13" ht="16.2" customHeight="1" x14ac:dyDescent="0.3">
      <c r="B11" s="16" t="s">
        <v>9</v>
      </c>
      <c r="C11" s="17">
        <v>480</v>
      </c>
      <c r="D11" s="17">
        <v>480</v>
      </c>
      <c r="E11" s="17"/>
      <c r="M11" t="s">
        <v>89</v>
      </c>
    </row>
    <row r="12" spans="2:13" ht="16.2" customHeight="1" x14ac:dyDescent="0.3">
      <c r="B12" s="16" t="s">
        <v>10</v>
      </c>
      <c r="C12" s="17">
        <v>15</v>
      </c>
      <c r="D12" s="17">
        <v>15</v>
      </c>
      <c r="E12" s="17"/>
    </row>
    <row r="13" spans="2:13" ht="16.2" customHeight="1" x14ac:dyDescent="0.3">
      <c r="B13" s="16" t="s">
        <v>11</v>
      </c>
      <c r="C13" s="17">
        <v>0</v>
      </c>
      <c r="D13" s="17">
        <v>45</v>
      </c>
      <c r="E13" s="17"/>
    </row>
    <row r="14" spans="2:13" ht="16.2" customHeight="1" x14ac:dyDescent="0.3">
      <c r="B14" s="16" t="s">
        <v>12</v>
      </c>
      <c r="C14" s="17">
        <v>15</v>
      </c>
      <c r="D14" s="17">
        <v>15</v>
      </c>
      <c r="E14" s="17"/>
    </row>
    <row r="15" spans="2:13" ht="16.2" customHeight="1" x14ac:dyDescent="0.3"/>
    <row r="16" spans="2:13" ht="16.2" customHeight="1" x14ac:dyDescent="0.3">
      <c r="B16" s="7" t="s">
        <v>13</v>
      </c>
      <c r="C16" s="7"/>
      <c r="D16" s="7"/>
      <c r="E16" s="7"/>
    </row>
    <row r="17" spans="2:5" ht="16.2" customHeight="1" x14ac:dyDescent="0.3">
      <c r="B17" s="16" t="s">
        <v>14</v>
      </c>
      <c r="C17" s="17">
        <v>2</v>
      </c>
      <c r="D17" s="17">
        <v>0</v>
      </c>
      <c r="E17" s="17"/>
    </row>
    <row r="18" spans="2:5" ht="16.2" customHeight="1" x14ac:dyDescent="0.3">
      <c r="B18" s="16" t="s">
        <v>15</v>
      </c>
      <c r="C18" s="17">
        <v>15</v>
      </c>
      <c r="D18" s="17">
        <v>15</v>
      </c>
      <c r="E18" s="17"/>
    </row>
    <row r="19" spans="2:5" ht="16.2" customHeight="1" x14ac:dyDescent="0.3"/>
    <row r="20" spans="2:5" ht="16.2" customHeight="1" x14ac:dyDescent="0.3">
      <c r="B20" s="7" t="s">
        <v>16</v>
      </c>
      <c r="C20" s="7"/>
      <c r="D20" s="7"/>
      <c r="E20" s="7"/>
    </row>
    <row r="21" spans="2:5" ht="16.2" customHeight="1" x14ac:dyDescent="0.3">
      <c r="B21" s="16" t="s">
        <v>17</v>
      </c>
      <c r="C21" s="17">
        <v>0</v>
      </c>
      <c r="D21" s="17">
        <v>0</v>
      </c>
      <c r="E21" s="17"/>
    </row>
    <row r="22" spans="2:5" ht="16.2" customHeight="1" x14ac:dyDescent="0.3"/>
    <row r="23" spans="2:5" ht="16.2" customHeight="1" x14ac:dyDescent="0.3">
      <c r="B23" s="7" t="s">
        <v>18</v>
      </c>
      <c r="C23" s="7"/>
      <c r="D23" s="7"/>
      <c r="E23" s="7"/>
    </row>
    <row r="24" spans="2:5" ht="16.2" customHeight="1" x14ac:dyDescent="0.3">
      <c r="B24" s="16" t="s">
        <v>19</v>
      </c>
      <c r="C24" s="6">
        <v>7500</v>
      </c>
      <c r="D24" s="6"/>
      <c r="E24" s="6"/>
    </row>
    <row r="25" spans="2:5" ht="16.2" customHeight="1" x14ac:dyDescent="0.3">
      <c r="B25" s="16" t="s">
        <v>20</v>
      </c>
      <c r="C25" s="6">
        <v>5</v>
      </c>
      <c r="D25" s="6"/>
      <c r="E25" s="6"/>
    </row>
    <row r="26" spans="2:5" ht="16.2" customHeight="1" x14ac:dyDescent="0.3"/>
    <row r="27" spans="2:5" ht="16.2" customHeight="1" x14ac:dyDescent="0.3">
      <c r="B27" s="7" t="s">
        <v>21</v>
      </c>
      <c r="C27" s="7"/>
      <c r="D27" s="7"/>
      <c r="E27" s="7"/>
    </row>
    <row r="28" spans="2:5" ht="16.2" customHeight="1" x14ac:dyDescent="0.3">
      <c r="B28" s="14"/>
      <c r="C28" s="15" t="s">
        <v>5</v>
      </c>
      <c r="D28" s="15" t="s">
        <v>6</v>
      </c>
      <c r="E28" s="15" t="s">
        <v>7</v>
      </c>
    </row>
    <row r="29" spans="2:5" ht="16.2" customHeight="1" x14ac:dyDescent="0.3">
      <c r="B29" s="16" t="s">
        <v>22</v>
      </c>
      <c r="C29" s="17">
        <v>1</v>
      </c>
      <c r="D29" s="17">
        <v>1</v>
      </c>
      <c r="E29" s="17"/>
    </row>
    <row r="30" spans="2:5" ht="16.2" customHeight="1" x14ac:dyDescent="0.3">
      <c r="B30" s="16" t="s">
        <v>23</v>
      </c>
      <c r="C30" s="17">
        <v>1</v>
      </c>
      <c r="D30" s="17">
        <v>1</v>
      </c>
      <c r="E30" s="17"/>
    </row>
    <row r="31" spans="2:5" ht="16.2" customHeight="1" x14ac:dyDescent="0.3">
      <c r="B31" s="16" t="s">
        <v>24</v>
      </c>
      <c r="C31" s="17">
        <v>10</v>
      </c>
      <c r="D31" s="17">
        <v>8</v>
      </c>
      <c r="E31" s="17"/>
    </row>
    <row r="32" spans="2:5" ht="16.2" customHeight="1" x14ac:dyDescent="0.3"/>
    <row r="33" spans="2:5" ht="16.2" customHeight="1" x14ac:dyDescent="0.3">
      <c r="B33" s="5" t="s">
        <v>25</v>
      </c>
      <c r="C33" s="5"/>
      <c r="D33" s="5"/>
      <c r="E33" s="5"/>
    </row>
    <row r="34" spans="2:5" ht="16.2" customHeight="1" x14ac:dyDescent="0.3">
      <c r="B34" s="18"/>
      <c r="C34" s="15" t="s">
        <v>5</v>
      </c>
      <c r="D34" s="15" t="s">
        <v>6</v>
      </c>
      <c r="E34" s="15" t="s">
        <v>7</v>
      </c>
    </row>
    <row r="35" spans="2:5" ht="16.2" customHeight="1" x14ac:dyDescent="0.3">
      <c r="B35" s="19" t="s">
        <v>26</v>
      </c>
      <c r="C35" s="20">
        <f>IF(OR(C11="",C12="",C13="",C14="",C17="",C18="",C21=""),"",C11-C12-C13-C14-(C17*C18)-C21)</f>
        <v>420</v>
      </c>
      <c r="D35" s="20">
        <f>IF(OR(D11="",D12="",D13="",D14="",D17="",D18="",D21=""),"",D11-D12-D13-D14-(D17*D18)-D21)</f>
        <v>405</v>
      </c>
      <c r="E35" s="20" t="str">
        <f>IF(OR(E11="",E12="",E13="",E14="",E17="",E18="",E21=""),"",E11-E12-E13-E14-(E17*E18)-E21)</f>
        <v/>
      </c>
    </row>
    <row r="36" spans="2:5" ht="16.2" customHeight="1" x14ac:dyDescent="0.3">
      <c r="B36" s="21" t="s">
        <v>27</v>
      </c>
      <c r="C36" s="22">
        <f>IF(OR(C35="",C24="",C24=0),"",C35/C24)</f>
        <v>5.6000000000000001E-2</v>
      </c>
      <c r="D36" s="22">
        <f>IF(OR(D35="",C24="",C24=0),"",D35/C24)</f>
        <v>5.3999999999999999E-2</v>
      </c>
      <c r="E36" s="22" t="str">
        <f>IF(OR(E35="",C24="",C24=0),"",E35/C24)</f>
        <v/>
      </c>
    </row>
    <row r="37" spans="2:5" ht="16.2" customHeight="1" x14ac:dyDescent="0.3">
      <c r="B37" s="21" t="s">
        <v>28</v>
      </c>
      <c r="C37" s="22">
        <f>IF(OR(C36="",C25=""),"",IF(C25=0,C36,C36*(1-C25/100)))</f>
        <v>5.3199999999999997E-2</v>
      </c>
      <c r="D37" s="22">
        <f>IF(OR(D36="",C25=""),"",IF(C25=0,D36,D36*(1-C25/100)))</f>
        <v>5.1299999999999998E-2</v>
      </c>
      <c r="E37" s="22" t="str">
        <f>IF(OR(E36="",C25=""),"",IF(C25=0,E36,E36*(1-C25/100)))</f>
        <v/>
      </c>
    </row>
    <row r="38" spans="2:5" ht="16.2" customHeight="1" x14ac:dyDescent="0.3">
      <c r="B38" s="19" t="s">
        <v>29</v>
      </c>
      <c r="C38" s="20">
        <f t="shared" ref="C38:E39" si="0">IF(C36="","",C36*60)</f>
        <v>3.36</v>
      </c>
      <c r="D38" s="20">
        <f t="shared" si="0"/>
        <v>3.2399999999999998</v>
      </c>
      <c r="E38" s="20" t="str">
        <f t="shared" si="0"/>
        <v/>
      </c>
    </row>
    <row r="39" spans="2:5" ht="16.2" customHeight="1" x14ac:dyDescent="0.3">
      <c r="B39" s="19" t="s">
        <v>30</v>
      </c>
      <c r="C39" s="20">
        <f t="shared" si="0"/>
        <v>3.1919999999999997</v>
      </c>
      <c r="D39" s="20">
        <f t="shared" si="0"/>
        <v>3.0779999999999998</v>
      </c>
      <c r="E39" s="20" t="str">
        <f t="shared" si="0"/>
        <v/>
      </c>
    </row>
    <row r="40" spans="2:5" ht="16.2" customHeight="1" x14ac:dyDescent="0.3">
      <c r="B40" s="19" t="s">
        <v>31</v>
      </c>
      <c r="C40" s="20">
        <f>IF(OR(C36="",C29="",C29=0),"",C36*C29)</f>
        <v>5.6000000000000001E-2</v>
      </c>
      <c r="D40" s="20">
        <f>IF(OR(D36="",D29="",D29=0),"",D36*D29)</f>
        <v>5.3999999999999999E-2</v>
      </c>
      <c r="E40" s="20" t="str">
        <f>IF(OR(E36="",E29="",E29=0),"",E36*E29)</f>
        <v/>
      </c>
    </row>
    <row r="41" spans="2:5" ht="16.2" customHeight="1" x14ac:dyDescent="0.3">
      <c r="B41" s="19" t="s">
        <v>32</v>
      </c>
      <c r="C41" s="20">
        <f>IF(OR(C36="",C36=0),"",60/C36)</f>
        <v>1071.4285714285713</v>
      </c>
      <c r="D41" s="20">
        <f>IF(OR(D36="",D36=0),"",60/D36)</f>
        <v>1111.1111111111111</v>
      </c>
      <c r="E41" s="20" t="str">
        <f>IF(OR(E36="",E36=0),"",60/E36)</f>
        <v/>
      </c>
    </row>
    <row r="42" spans="2:5" ht="16.2" customHeight="1" x14ac:dyDescent="0.3">
      <c r="B42" s="19" t="s">
        <v>33</v>
      </c>
      <c r="C42" s="20">
        <f>IF(OR(C12="",C13="",C14="",C17="",C18="",C21=""),"",C12+C13+C14+(C17*C18)+C21)</f>
        <v>60</v>
      </c>
      <c r="D42" s="20">
        <f>IF(OR(D12="",D13="",D14="",D17="",D18="",D21=""),"",D12+D13+D14+(D17*D18)+D21)</f>
        <v>75</v>
      </c>
      <c r="E42" s="20" t="str">
        <f>IF(OR(E12="",E13="",E14="",E17="",E18="",E21=""),"",E12+E13+E14+(E17*E18)+E21)</f>
        <v/>
      </c>
    </row>
    <row r="43" spans="2:5" ht="16.2" customHeight="1" x14ac:dyDescent="0.3">
      <c r="B43" s="19" t="s">
        <v>34</v>
      </c>
      <c r="C43" s="20">
        <f>IF(OR(C35="",C11="",C11=0),"",C35/C11*100)</f>
        <v>87.5</v>
      </c>
      <c r="D43" s="20">
        <f>IF(OR(D35="",D11="",D11=0),"",D35/D11*100)</f>
        <v>84.375</v>
      </c>
      <c r="E43" s="20" t="str">
        <f>IF(OR(E35="",E11="",E11=0),"",E35/E11*100)</f>
        <v/>
      </c>
    </row>
    <row r="44" spans="2:5" ht="16.2" customHeight="1" x14ac:dyDescent="0.3">
      <c r="B44" s="19" t="s">
        <v>35</v>
      </c>
      <c r="C44" s="20">
        <f>IF(OR(C29="",C30="",C31=""),"",C29+C30+C31)</f>
        <v>12</v>
      </c>
      <c r="D44" s="20">
        <f>IF(OR(D29="",D30="",D31=""),"",D29+D30+D31)</f>
        <v>10</v>
      </c>
      <c r="E44" s="20" t="str">
        <f>IF(OR(E29="",E30="",E31=""),"",E29+E30+E31)</f>
        <v/>
      </c>
    </row>
    <row r="45" spans="2:5" ht="9.75" customHeight="1" x14ac:dyDescent="0.3"/>
    <row r="46" spans="2:5" ht="21.75" customHeight="1" x14ac:dyDescent="0.3">
      <c r="B46" s="4" t="s">
        <v>36</v>
      </c>
      <c r="C46" s="4"/>
      <c r="D46" s="4"/>
      <c r="E46" s="4"/>
    </row>
    <row r="47" spans="2:5" ht="21.75" customHeight="1" x14ac:dyDescent="0.3"/>
    <row r="48" spans="2:5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  <row r="60" ht="21.75" customHeight="1" x14ac:dyDescent="0.3"/>
    <row r="61" ht="21.75" customHeight="1" x14ac:dyDescent="0.3"/>
    <row r="62" ht="21.75" customHeight="1" x14ac:dyDescent="0.3"/>
    <row r="63" ht="21.75" customHeight="1" x14ac:dyDescent="0.3"/>
    <row r="64" ht="21.75" customHeight="1" x14ac:dyDescent="0.3"/>
    <row r="65" ht="21.75" customHeight="1" x14ac:dyDescent="0.3"/>
    <row r="66" ht="21.75" customHeight="1" x14ac:dyDescent="0.3"/>
    <row r="67" ht="21.75" customHeight="1" x14ac:dyDescent="0.3"/>
    <row r="68" ht="21.75" customHeight="1" x14ac:dyDescent="0.3"/>
    <row r="69" ht="21.75" customHeight="1" x14ac:dyDescent="0.3"/>
    <row r="70" ht="21.75" customHeight="1" x14ac:dyDescent="0.3"/>
    <row r="71" ht="21.75" customHeight="1" x14ac:dyDescent="0.3"/>
    <row r="72" ht="21.75" customHeight="1" x14ac:dyDescent="0.3"/>
    <row r="73" ht="21.75" customHeight="1" x14ac:dyDescent="0.3"/>
    <row r="74" ht="21.75" customHeight="1" x14ac:dyDescent="0.3"/>
  </sheetData>
  <mergeCells count="15">
    <mergeCell ref="C24:E24"/>
    <mergeCell ref="C25:E25"/>
    <mergeCell ref="B27:E27"/>
    <mergeCell ref="B33:E33"/>
    <mergeCell ref="B46:E46"/>
    <mergeCell ref="B8:E8"/>
    <mergeCell ref="B10:E10"/>
    <mergeCell ref="B16:E16"/>
    <mergeCell ref="B20:E20"/>
    <mergeCell ref="B23:E23"/>
    <mergeCell ref="B2:E2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showGridLines="0" topLeftCell="A8" zoomScaleNormal="100" workbookViewId="0"/>
  </sheetViews>
  <sheetFormatPr defaultColWidth="8.6640625" defaultRowHeight="14.4" x14ac:dyDescent="0.3"/>
  <cols>
    <col min="1" max="1" width="2" style="13" customWidth="1"/>
    <col min="2" max="2" width="75" style="13" customWidth="1"/>
  </cols>
  <sheetData>
    <row r="1" spans="2:2" ht="21.75" customHeight="1" x14ac:dyDescent="0.3"/>
    <row r="2" spans="2:2" ht="21.75" customHeight="1" x14ac:dyDescent="0.3">
      <c r="B2" s="23" t="s">
        <v>37</v>
      </c>
    </row>
    <row r="3" spans="2:2" ht="24" customHeight="1" x14ac:dyDescent="0.3"/>
    <row r="4" spans="2:2" ht="24" customHeight="1" x14ac:dyDescent="0.3">
      <c r="B4" s="24" t="s">
        <v>38</v>
      </c>
    </row>
    <row r="5" spans="2:2" ht="24" customHeight="1" x14ac:dyDescent="0.3">
      <c r="B5" s="25" t="s">
        <v>39</v>
      </c>
    </row>
    <row r="6" spans="2:2" ht="24" customHeight="1" x14ac:dyDescent="0.3">
      <c r="B6" s="25" t="s">
        <v>40</v>
      </c>
    </row>
    <row r="7" spans="2:2" ht="24" customHeight="1" x14ac:dyDescent="0.3"/>
    <row r="8" spans="2:2" ht="24" customHeight="1" x14ac:dyDescent="0.3">
      <c r="B8" s="24" t="s">
        <v>41</v>
      </c>
    </row>
    <row r="9" spans="2:2" ht="24" customHeight="1" x14ac:dyDescent="0.3">
      <c r="B9" s="25" t="s">
        <v>42</v>
      </c>
    </row>
    <row r="10" spans="2:2" ht="24" customHeight="1" x14ac:dyDescent="0.3">
      <c r="B10" s="25" t="s">
        <v>43</v>
      </c>
    </row>
    <row r="11" spans="2:2" ht="24" customHeight="1" x14ac:dyDescent="0.3">
      <c r="B11" s="25" t="s">
        <v>44</v>
      </c>
    </row>
    <row r="12" spans="2:2" ht="24" customHeight="1" x14ac:dyDescent="0.3">
      <c r="B12" s="25" t="s">
        <v>45</v>
      </c>
    </row>
    <row r="13" spans="2:2" ht="24" customHeight="1" x14ac:dyDescent="0.3">
      <c r="B13" s="25" t="s">
        <v>46</v>
      </c>
    </row>
    <row r="14" spans="2:2" ht="24" customHeight="1" x14ac:dyDescent="0.3"/>
    <row r="15" spans="2:2" ht="24" customHeight="1" x14ac:dyDescent="0.3">
      <c r="B15" s="24" t="s">
        <v>47</v>
      </c>
    </row>
    <row r="16" spans="2:2" ht="24" customHeight="1" x14ac:dyDescent="0.3">
      <c r="B16" s="25" t="s">
        <v>48</v>
      </c>
    </row>
    <row r="17" spans="2:2" ht="24" customHeight="1" x14ac:dyDescent="0.3">
      <c r="B17" s="25" t="s">
        <v>49</v>
      </c>
    </row>
    <row r="18" spans="2:2" ht="24" customHeight="1" x14ac:dyDescent="0.3">
      <c r="B18" s="25" t="s">
        <v>50</v>
      </c>
    </row>
    <row r="19" spans="2:2" ht="24" customHeight="1" x14ac:dyDescent="0.3"/>
    <row r="20" spans="2:2" ht="24" customHeight="1" x14ac:dyDescent="0.3">
      <c r="B20" s="24" t="s">
        <v>51</v>
      </c>
    </row>
    <row r="21" spans="2:2" ht="24" customHeight="1" x14ac:dyDescent="0.3">
      <c r="B21" s="25" t="s">
        <v>52</v>
      </c>
    </row>
    <row r="22" spans="2:2" ht="24" customHeight="1" x14ac:dyDescent="0.3">
      <c r="B22" s="25" t="s">
        <v>53</v>
      </c>
    </row>
    <row r="23" spans="2:2" ht="24" customHeight="1" x14ac:dyDescent="0.3">
      <c r="B23" s="25" t="s">
        <v>54</v>
      </c>
    </row>
    <row r="24" spans="2:2" ht="24" customHeight="1" x14ac:dyDescent="0.3">
      <c r="B24" s="25" t="s">
        <v>55</v>
      </c>
    </row>
    <row r="25" spans="2:2" ht="24" customHeight="1" x14ac:dyDescent="0.3"/>
    <row r="26" spans="2:2" ht="24" customHeight="1" x14ac:dyDescent="0.3">
      <c r="B26" s="25" t="s">
        <v>56</v>
      </c>
    </row>
    <row r="27" spans="2:2" ht="21.75" customHeight="1" x14ac:dyDescent="0.3"/>
    <row r="28" spans="2:2" ht="21.75" customHeight="1" x14ac:dyDescent="0.3"/>
    <row r="29" spans="2:2" ht="21.75" customHeight="1" x14ac:dyDescent="0.3"/>
    <row r="30" spans="2:2" ht="21.75" customHeight="1" x14ac:dyDescent="0.3"/>
    <row r="31" spans="2:2" ht="21.75" customHeight="1" x14ac:dyDescent="0.3"/>
    <row r="32" spans="2:2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  <row r="40" ht="21.75" customHeight="1" x14ac:dyDescent="0.3"/>
    <row r="41" ht="21.75" customHeight="1" x14ac:dyDescent="0.3"/>
    <row r="42" ht="21.75" customHeight="1" x14ac:dyDescent="0.3"/>
    <row r="43" ht="21.75" customHeight="1" x14ac:dyDescent="0.3"/>
    <row r="44" ht="21.75" customHeight="1" x14ac:dyDescent="0.3"/>
    <row r="45" ht="21.75" customHeight="1" x14ac:dyDescent="0.3"/>
    <row r="46" ht="21.75" customHeight="1" x14ac:dyDescent="0.3"/>
    <row r="47" ht="21.75" customHeight="1" x14ac:dyDescent="0.3"/>
    <row r="48" ht="21.75" customHeight="1" x14ac:dyDescent="0.3"/>
    <row r="49" ht="21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showGridLines="0" tabSelected="1" topLeftCell="A19" zoomScaleNormal="100" workbookViewId="0">
      <selection activeCell="D32" sqref="D32"/>
    </sheetView>
  </sheetViews>
  <sheetFormatPr defaultColWidth="8.6640625" defaultRowHeight="14.4" x14ac:dyDescent="0.3"/>
  <cols>
    <col min="1" max="1" width="2" style="13" customWidth="1"/>
    <col min="2" max="2" width="44" style="13" customWidth="1"/>
    <col min="3" max="5" width="16" style="13" customWidth="1"/>
    <col min="6" max="6" width="2" style="13" customWidth="1"/>
  </cols>
  <sheetData>
    <row r="1" spans="2:5" ht="21.75" customHeight="1" x14ac:dyDescent="0.3"/>
    <row r="2" spans="2:5" ht="30" customHeight="1" x14ac:dyDescent="0.3">
      <c r="B2" s="3" t="s">
        <v>57</v>
      </c>
      <c r="C2" s="3"/>
      <c r="D2" s="3"/>
      <c r="E2" s="3"/>
    </row>
    <row r="3" spans="2:5" ht="15.75" customHeight="1" x14ac:dyDescent="0.3">
      <c r="B3" s="2" t="s">
        <v>58</v>
      </c>
      <c r="C3" s="2"/>
      <c r="D3" s="2"/>
      <c r="E3" s="2"/>
    </row>
    <row r="4" spans="2:5" ht="9.75" customHeight="1" x14ac:dyDescent="0.3"/>
    <row r="5" spans="2:5" ht="27.75" customHeight="1" x14ac:dyDescent="0.3">
      <c r="B5" s="7" t="s">
        <v>59</v>
      </c>
      <c r="C5" s="7"/>
      <c r="D5" s="7"/>
      <c r="E5" s="7"/>
    </row>
    <row r="6" spans="2:5" ht="6" customHeight="1" x14ac:dyDescent="0.3"/>
    <row r="7" spans="2:5" ht="25.5" customHeight="1" x14ac:dyDescent="0.3">
      <c r="B7" s="16" t="s">
        <v>60</v>
      </c>
      <c r="C7" s="6"/>
      <c r="D7" s="6"/>
      <c r="E7" s="6"/>
    </row>
    <row r="8" spans="2:5" ht="25.5" customHeight="1" x14ac:dyDescent="0.3">
      <c r="B8" s="16" t="s">
        <v>61</v>
      </c>
      <c r="C8" s="6"/>
      <c r="D8" s="6"/>
      <c r="E8" s="6"/>
    </row>
    <row r="9" spans="2:5" ht="25.5" customHeight="1" x14ac:dyDescent="0.3">
      <c r="B9" s="16" t="s">
        <v>62</v>
      </c>
      <c r="C9" s="6"/>
      <c r="D9" s="6"/>
      <c r="E9" s="6"/>
    </row>
    <row r="10" spans="2:5" ht="25.5" customHeight="1" x14ac:dyDescent="0.3">
      <c r="B10" s="16" t="s">
        <v>63</v>
      </c>
      <c r="C10" s="6"/>
      <c r="D10" s="6"/>
      <c r="E10" s="6"/>
    </row>
    <row r="11" spans="2:5" ht="6" customHeight="1" x14ac:dyDescent="0.3"/>
    <row r="12" spans="2:5" ht="25.5" customHeight="1" x14ac:dyDescent="0.3">
      <c r="B12" s="16" t="s">
        <v>64</v>
      </c>
      <c r="C12" s="26">
        <f>Kalkulator!C44</f>
        <v>12</v>
      </c>
      <c r="D12" s="26">
        <f>Kalkulator!D44</f>
        <v>10</v>
      </c>
      <c r="E12" s="26" t="str">
        <f>Kalkulator!E44</f>
        <v/>
      </c>
    </row>
    <row r="13" spans="2:5" ht="6" customHeight="1" x14ac:dyDescent="0.3"/>
    <row r="14" spans="2:5" ht="27.75" customHeight="1" x14ac:dyDescent="0.3">
      <c r="B14" s="7" t="s">
        <v>65</v>
      </c>
      <c r="C14" s="7"/>
      <c r="D14" s="7"/>
      <c r="E14" s="7"/>
    </row>
    <row r="15" spans="2:5" ht="25.5" customHeight="1" x14ac:dyDescent="0.3">
      <c r="B15" s="27"/>
      <c r="C15" s="15" t="s">
        <v>5</v>
      </c>
      <c r="D15" s="15" t="s">
        <v>6</v>
      </c>
      <c r="E15" s="15" t="s">
        <v>7</v>
      </c>
    </row>
    <row r="16" spans="2:5" ht="25.5" customHeight="1" x14ac:dyDescent="0.3">
      <c r="B16" s="16" t="s">
        <v>66</v>
      </c>
      <c r="C16" s="20">
        <f>IF(Kalkulator!C12="","",Kalkulator!C12)</f>
        <v>15</v>
      </c>
      <c r="D16" s="20">
        <f>IF(Kalkulator!D12="","",Kalkulator!D12)</f>
        <v>15</v>
      </c>
      <c r="E16" s="20" t="str">
        <f>IF(Kalkulator!E12="","",Kalkulator!E12)</f>
        <v/>
      </c>
    </row>
    <row r="17" spans="2:5" ht="25.5" customHeight="1" x14ac:dyDescent="0.3">
      <c r="B17" s="16" t="s">
        <v>67</v>
      </c>
      <c r="C17" s="20">
        <f>IF(Kalkulator!C13="","",Kalkulator!C13)</f>
        <v>0</v>
      </c>
      <c r="D17" s="20">
        <f>IF(Kalkulator!D13="","",Kalkulator!D13)</f>
        <v>45</v>
      </c>
      <c r="E17" s="20" t="str">
        <f>IF(Kalkulator!E13="","",Kalkulator!E13)</f>
        <v/>
      </c>
    </row>
    <row r="18" spans="2:5" ht="25.5" customHeight="1" x14ac:dyDescent="0.3">
      <c r="B18" s="16" t="s">
        <v>68</v>
      </c>
      <c r="C18" s="20">
        <f>IF(Kalkulator!C14="","",Kalkulator!C14)</f>
        <v>15</v>
      </c>
      <c r="D18" s="20">
        <f>IF(Kalkulator!D14="","",Kalkulator!D14)</f>
        <v>15</v>
      </c>
      <c r="E18" s="20" t="str">
        <f>IF(Kalkulator!E14="","",Kalkulator!E14)</f>
        <v/>
      </c>
    </row>
    <row r="19" spans="2:5" ht="25.5" customHeight="1" x14ac:dyDescent="0.3">
      <c r="B19" s="16" t="s">
        <v>69</v>
      </c>
      <c r="C19" s="20">
        <f>IF(OR(Kalkulator!C17="",Kalkulator!C18=""),"",Kalkulator!C17*Kalkulator!C18)</f>
        <v>30</v>
      </c>
      <c r="D19" s="20">
        <f>IF(OR(Kalkulator!D17="",Kalkulator!D18=""),"",Kalkulator!D17*Kalkulator!D18)</f>
        <v>0</v>
      </c>
      <c r="E19" s="20" t="str">
        <f>IF(OR(Kalkulator!E17="",Kalkulator!E18=""),"",Kalkulator!E17*Kalkulator!E18)</f>
        <v/>
      </c>
    </row>
    <row r="20" spans="2:5" ht="25.5" customHeight="1" x14ac:dyDescent="0.3">
      <c r="B20" s="16" t="s">
        <v>70</v>
      </c>
      <c r="C20" s="20">
        <f>IF(Kalkulator!C21="","",Kalkulator!C21)</f>
        <v>0</v>
      </c>
      <c r="D20" s="20">
        <f>IF(Kalkulator!D21="","",Kalkulator!D21)</f>
        <v>0</v>
      </c>
      <c r="E20" s="20" t="str">
        <f>IF(Kalkulator!E21="","",Kalkulator!E21)</f>
        <v/>
      </c>
    </row>
    <row r="21" spans="2:5" ht="25.5" customHeight="1" x14ac:dyDescent="0.3">
      <c r="B21" s="21" t="s">
        <v>71</v>
      </c>
      <c r="C21" s="22">
        <f>IFERROR(C16+C17+C18+C19+C20,"")</f>
        <v>60</v>
      </c>
      <c r="D21" s="22">
        <f>IFERROR(D16+D17+D18+D19+D20,"")</f>
        <v>75</v>
      </c>
      <c r="E21" s="22" t="str">
        <f>IFERROR(E16+E17+E18+E19+E20,"")</f>
        <v/>
      </c>
    </row>
    <row r="22" spans="2:5" ht="6" customHeight="1" x14ac:dyDescent="0.3"/>
    <row r="23" spans="2:5" ht="27.75" customHeight="1" x14ac:dyDescent="0.3">
      <c r="B23" s="5" t="s">
        <v>72</v>
      </c>
      <c r="C23" s="5"/>
      <c r="D23" s="5"/>
      <c r="E23" s="5"/>
    </row>
    <row r="24" spans="2:5" ht="25.5" customHeight="1" x14ac:dyDescent="0.3">
      <c r="B24" s="27"/>
      <c r="C24" s="15" t="s">
        <v>5</v>
      </c>
      <c r="D24" s="15" t="s">
        <v>6</v>
      </c>
      <c r="E24" s="15" t="s">
        <v>7</v>
      </c>
    </row>
    <row r="25" spans="2:5" ht="25.5" customHeight="1" x14ac:dyDescent="0.3">
      <c r="B25" s="16" t="s">
        <v>73</v>
      </c>
      <c r="C25" s="20">
        <f>Kalkulator!C11</f>
        <v>480</v>
      </c>
      <c r="D25" s="20">
        <f>Kalkulator!D11</f>
        <v>480</v>
      </c>
      <c r="E25" s="20">
        <f>Kalkulator!E11</f>
        <v>0</v>
      </c>
    </row>
    <row r="26" spans="2:5" ht="25.5" customHeight="1" x14ac:dyDescent="0.3">
      <c r="B26" s="16" t="s">
        <v>74</v>
      </c>
      <c r="C26" s="20">
        <f>Kalkulator!C35</f>
        <v>420</v>
      </c>
      <c r="D26" s="20">
        <f>Kalkulator!D35</f>
        <v>405</v>
      </c>
      <c r="E26" s="20" t="str">
        <f>Kalkulator!E35</f>
        <v/>
      </c>
    </row>
    <row r="27" spans="2:5" ht="25.5" customHeight="1" x14ac:dyDescent="0.3">
      <c r="B27" s="21" t="s">
        <v>75</v>
      </c>
      <c r="C27" s="28">
        <f>IF(OR(C25="",C25=0),"",C26/C25*100)</f>
        <v>87.5</v>
      </c>
      <c r="D27" s="28">
        <f>IF(OR(D25="",D25=0),"",D26/D25*100)</f>
        <v>84.375</v>
      </c>
      <c r="E27" s="28" t="str">
        <f>IF(OR(E25="",E25=0),"",E26/E25*100)</f>
        <v/>
      </c>
    </row>
    <row r="28" spans="2:5" ht="6" customHeight="1" x14ac:dyDescent="0.3"/>
    <row r="29" spans="2:5" ht="27.75" customHeight="1" x14ac:dyDescent="0.3">
      <c r="B29" s="7" t="s">
        <v>76</v>
      </c>
      <c r="C29" s="7"/>
      <c r="D29" s="7"/>
      <c r="E29" s="7"/>
    </row>
    <row r="30" spans="2:5" ht="25.5" customHeight="1" x14ac:dyDescent="0.3">
      <c r="B30" s="27"/>
      <c r="C30" s="15" t="s">
        <v>5</v>
      </c>
      <c r="D30" s="15" t="s">
        <v>6</v>
      </c>
      <c r="E30" s="15" t="s">
        <v>7</v>
      </c>
    </row>
    <row r="31" spans="2:5" ht="25.5" customHeight="1" x14ac:dyDescent="0.3">
      <c r="B31" s="16" t="s">
        <v>77</v>
      </c>
      <c r="C31" s="29" t="str">
        <f>IF(OR(Kalkulator!C43="",$C$7=""),"",$C$7/60*Kalkulator!C43)</f>
        <v/>
      </c>
      <c r="D31" s="29" t="str">
        <f>IF(OR(Kalkulator!D43="",$C$7=""),"",$C$7/60*Kalkulator!D43)</f>
        <v/>
      </c>
      <c r="E31" s="29" t="str">
        <f>IF(OR(Kalkulator!E43="",$C$7=""),"",$C$7/60*Kalkulator!E43)</f>
        <v/>
      </c>
    </row>
    <row r="32" spans="2:5" ht="25.5" customHeight="1" x14ac:dyDescent="0.3">
      <c r="B32" s="16" t="s">
        <v>78</v>
      </c>
      <c r="C32" s="30" t="str">
        <f>IF(OR(C31="",$C$8=""),"brak marży",C31*$C$8)</f>
        <v>brak marży</v>
      </c>
      <c r="D32" s="30" t="str">
        <f>IF(OR(D31="",$C$8=""),"brak marży",D31*$C$8)</f>
        <v>brak marży</v>
      </c>
      <c r="E32" s="30" t="str">
        <f>IF(OR(E31="",$C$8=""),"brak marży",E31*$C$8)</f>
        <v>brak marży</v>
      </c>
    </row>
    <row r="33" spans="2:5" ht="25.5" customHeight="1" x14ac:dyDescent="0.3">
      <c r="B33" s="16" t="s">
        <v>79</v>
      </c>
      <c r="C33" s="30" t="str">
        <f>IF(OR(Kalkulator!C43="",$C$9="",C12=""),"",$C$9*C12*(Kalkulator!C43/60))</f>
        <v/>
      </c>
      <c r="D33" s="30" t="str">
        <f>IF(OR(Kalkulator!D43="",$C$9="",D12=""),"",$C$9*D12*(Kalkulator!D43/60))</f>
        <v/>
      </c>
      <c r="E33" s="30" t="str">
        <f>IF(OR(Kalkulator!E43="",$C$9="",E12=""),"",$C$9*E12*(Kalkulator!E43/60))</f>
        <v/>
      </c>
    </row>
    <row r="34" spans="2:5" ht="25.5" customHeight="1" x14ac:dyDescent="0.3">
      <c r="B34" s="16" t="s">
        <v>80</v>
      </c>
      <c r="C34" s="30" t="str">
        <f>IF(OR(Kalkulator!C43="",$C$10=""),"",$C$10*(Kalkulator!C43/60))</f>
        <v/>
      </c>
      <c r="D34" s="30" t="str">
        <f>IF(OR(Kalkulator!D43="",$C$10=""),"",$C$10*(Kalkulator!D43/60))</f>
        <v/>
      </c>
      <c r="E34" s="30" t="str">
        <f>IF(OR(Kalkulator!E43="",$C$10=""),"",$C$10*(Kalkulator!E43/60))</f>
        <v/>
      </c>
    </row>
    <row r="35" spans="2:5" ht="25.5" customHeight="1" x14ac:dyDescent="0.3">
      <c r="B35" s="31" t="s">
        <v>81</v>
      </c>
      <c r="C35" s="32" t="str">
        <f>IF(OR(C33="",C34=""),"",IF($C$8="",C33+C34,IF(ISNUMBER(C32),C32+C33+C34,C33+C34)))</f>
        <v/>
      </c>
      <c r="D35" s="32" t="str">
        <f>IF(OR(D33="",D34=""),"",IF($C$8="",D33+D34,IF(ISNUMBER(D32),D32+D33+D34,D33+D34)))</f>
        <v/>
      </c>
      <c r="E35" s="32" t="str">
        <f>IF(OR(E33="",E34=""),"",IF($C$8="",E33+E34,IF(ISNUMBER(E32),E32+E33+E34,E33+E34)))</f>
        <v/>
      </c>
    </row>
    <row r="36" spans="2:5" ht="25.5" customHeight="1" x14ac:dyDescent="0.3">
      <c r="B36" s="33" t="s">
        <v>82</v>
      </c>
      <c r="C36" s="34" t="str">
        <f>IF(C35="","",C35*250)</f>
        <v/>
      </c>
      <c r="D36" s="34" t="str">
        <f>IF(D35="","",D35*250)</f>
        <v/>
      </c>
      <c r="E36" s="34" t="str">
        <f>IF(E35="","",E35*250)</f>
        <v/>
      </c>
    </row>
    <row r="37" spans="2:5" ht="6" customHeight="1" x14ac:dyDescent="0.3"/>
    <row r="38" spans="2:5" ht="27.75" customHeight="1" x14ac:dyDescent="0.3">
      <c r="B38" s="1" t="s">
        <v>83</v>
      </c>
      <c r="C38" s="1"/>
      <c r="D38" s="1"/>
      <c r="E38" s="1"/>
    </row>
    <row r="39" spans="2:5" ht="18" customHeight="1" x14ac:dyDescent="0.3">
      <c r="B39" s="2" t="s">
        <v>84</v>
      </c>
      <c r="C39" s="2"/>
      <c r="D39" s="2"/>
      <c r="E39" s="2"/>
    </row>
    <row r="40" spans="2:5" ht="25.5" customHeight="1" x14ac:dyDescent="0.3">
      <c r="B40" s="27"/>
      <c r="C40" s="15" t="s">
        <v>5</v>
      </c>
      <c r="D40" s="15" t="s">
        <v>6</v>
      </c>
      <c r="E40" s="15" t="s">
        <v>7</v>
      </c>
    </row>
    <row r="41" spans="2:5" ht="25.5" customHeight="1" x14ac:dyDescent="0.3">
      <c r="B41" s="16" t="s">
        <v>85</v>
      </c>
      <c r="C41" s="35" t="str">
        <f>IF(C27="","—",IF(C27&lt;75,"⚠ KRYTYCZNE: dostępność poniżej 75% — natychmiastowa analiza strat; rozważ dodatkową zmianę lub nadgodziny",IF(C27&lt;85,"▲ Dostępność poniżej 85% — sprawdź przezbrojenia i mycie; rozważ SMED lub zmianę sekwencji",IF(C27&gt;=95,"✓ Dostępność powyżej 95% — dobry wynik; monitoruj regularnie","◆ Dostępność w normie — sprawdź czy bufor bezpieczeństwa jest wystarczający"))))</f>
        <v>◆ Dostępność w normie — sprawdź czy bufor bezpieczeństwa jest wystarczający</v>
      </c>
      <c r="D41" s="35" t="str">
        <f>IF(D27="","—",IF(D27&lt;75,"⚠ KRYTYCZNE: dostępność poniżej 75% — natychmiastowa analiza strat; rozważ dodatkową zmianę lub nadgodziny",IF(D27&lt;85,"▲ Dostępność poniżej 85% — sprawdź przezbrojenia i mycie; rozważ SMED lub zmianę sekwencji",IF(D27&gt;=95,"✓ Dostępność powyżej 95% — dobry wynik; monitoruj regularnie","◆ Dostępność w normie — sprawdź czy bufor bezpieczeństwa jest wystarczający"))))</f>
        <v>▲ Dostępność poniżej 85% — sprawdź przezbrojenia i mycie; rozważ SMED lub zmianę sekwencji</v>
      </c>
      <c r="E41" s="35" t="str">
        <f>IF(E27="","—",IF(E27&lt;75,"⚠ KRYTYCZNE: dostępność poniżej 75% — natychmiastowa analiza strat; rozważ dodatkową zmianę lub nadgodziny",IF(E27&lt;85,"▲ Dostępność poniżej 85% — sprawdź przezbrojenia i mycie; rozważ SMED lub zmianę sekwencji",IF(E27&gt;=95,"✓ Dostępność powyżej 95% — dobry wynik; monitoruj regularnie","◆ Dostępność w normie — sprawdź czy bufor bezpieczeństwa jest wystarczający"))))</f>
        <v>—</v>
      </c>
    </row>
    <row r="42" spans="2:5" ht="25.5" customHeight="1" x14ac:dyDescent="0.3">
      <c r="B42" s="16" t="s">
        <v>86</v>
      </c>
      <c r="C42" s="35" t="str">
        <f>IF(OR(Kalkulator!C17="",Kalkulator!C18=""),"brak danych",IF(Kalkulator!C17*Kalkulator!C18&gt;Kalkulator!C11*0.25,"⚠ Przezbrojenia zajmują &gt;"&amp;TEXT(Kalkulator!C17*Kalkulator!C18/Kalkulator!C11*100,"0")&amp;"% zmiany — priorytet: SMED, standaryzacja lub zmiana kolejności serii",IF(Kalkulator!C17*Kalkulator!C18&gt;Kalkulator!C11*0.15,"▲ Przezbrojenia zajmują "&amp;TEXT(Kalkulator!C17*Kalkulator!C18/Kalkulator!C11*100,"0")&amp;"% zmiany — rozważ grupowanie podobnych zleceń","✓ Czas przezbrojeń poniżej 15% zmiany — poziom akceptowalny")))</f>
        <v>✓ Czas przezbrojeń poniżej 15% zmiany — poziom akceptowalny</v>
      </c>
      <c r="D42" s="35" t="str">
        <f>IF(OR(Kalkulator!D17="",Kalkulator!D18=""),"brak danych",IF(Kalkulator!D17*Kalkulator!D18&gt;Kalkulator!D11*0.25,"⚠ Przezbrojenia zajmują &gt;"&amp;TEXT(Kalkulator!D17*Kalkulator!D18/Kalkulator!D11*100,"0")&amp;"% zmiany — priorytet: SMED, standaryzacja lub zmiana kolejności serii",IF(Kalkulator!D17*Kalkulator!D18&gt;Kalkulator!D11*0.15,"▲ Przezbrojenia zajmują "&amp;TEXT(Kalkulator!D17*Kalkulator!D18/Kalkulator!D11*100,"0")&amp;"% zmiany — rozważ grupowanie podobnych zleceń","✓ Czas przezbrojeń poniżej 15% zmiany — poziom akceptowalny")))</f>
        <v>✓ Czas przezbrojeń poniżej 15% zmiany — poziom akceptowalny</v>
      </c>
      <c r="E42" s="35" t="str">
        <f>IF(OR(Kalkulator!E17="",Kalkulator!E18=""),"brak danych",IF(Kalkulator!E17*Kalkulator!E18&gt;Kalkulator!E11*0.25,"⚠ Przezbrojenia zajmują &gt;"&amp;TEXT(Kalkulator!E17*Kalkulator!E18/Kalkulator!E11*100,"0")&amp;"% zmiany — priorytet: SMED, standaryzacja lub zmiana kolejności serii",IF(Kalkulator!E17*Kalkulator!E18&gt;Kalkulator!E11*0.15,"▲ Przezbrojenia zajmują "&amp;TEXT(Kalkulator!E17*Kalkulator!E18/Kalkulator!E11*100,"0")&amp;"% zmiany — rozważ grupowanie podobnych zleceń","✓ Czas przezbrojeń poniżej 15% zmiany — poziom akceptowalny")))</f>
        <v>brak danych</v>
      </c>
    </row>
    <row r="43" spans="2:5" ht="25.5" customHeight="1" x14ac:dyDescent="0.3">
      <c r="B43" s="16" t="s">
        <v>87</v>
      </c>
      <c r="C43" s="35" t="str">
        <f>IF(OR(Kalkulator!C36="",Kalkulator!C29="",Kalkulator!C29=0),"brak danych",IF(Kalkulator!C44&gt;Kalkulator!C36*1.3,"▲ Obsada wysoka w stosunku do takt time — sprawdź balans linii; możliwa redukcja o 1-2 osoby",IF(Kalkulator!C44&lt;Kalkulator!C36*0.7,"⚠ Obsada niska — ryzyko niedotrzymania takt time; rozważ nadgodziny lub dodatkowego operatora","✓ Obsada proporcjonalna do takt time")))</f>
        <v>▲ Obsada wysoka w stosunku do takt time — sprawdź balans linii; możliwa redukcja o 1-2 osoby</v>
      </c>
      <c r="D43" s="35" t="str">
        <f>IF(OR(Kalkulator!D36="",Kalkulator!D29="",Kalkulator!D29=0),"brak danych",IF(Kalkulator!D44&gt;Kalkulator!D36*1.3,"▲ Obsada wysoka w stosunku do takt time — sprawdź balans linii; możliwa redukcja o 1-2 osoby",IF(Kalkulator!D44&lt;Kalkulator!D36*0.7,"⚠ Obsada niska — ryzyko niedotrzymania takt time; rozważ nadgodziny lub dodatkowego operatora","✓ Obsada proporcjonalna do takt time")))</f>
        <v>▲ Obsada wysoka w stosunku do takt time — sprawdź balans linii; możliwa redukcja o 1-2 osoby</v>
      </c>
      <c r="E43" s="35" t="str">
        <f>IF(OR(Kalkulator!E36="",Kalkulator!E29="",Kalkulator!E29=0),"brak danych",IF(Kalkulator!E44&gt;Kalkulator!E36*1.3,"▲ Obsada wysoka w stosunku do takt time — sprawdź balans linii; możliwa redukcja o 1-2 osoby",IF(Kalkulator!E44&lt;Kalkulator!E36*0.7,"⚠ Obsada niska — ryzyko niedotrzymania takt time; rozważ nadgodziny lub dodatkowego operatora","✓ Obsada proporcjonalna do takt time")))</f>
        <v>brak danych</v>
      </c>
    </row>
    <row r="44" spans="2:5" ht="25.5" customHeight="1" x14ac:dyDescent="0.3">
      <c r="B44" s="16" t="s">
        <v>88</v>
      </c>
      <c r="C44" s="35" t="str">
        <f>IF(C36="","brak danych",IF(C36&gt;5000,"⚠ Koszt roczny przestojów przekracza 5000 zł/zmianę — analiza ROI dla inwestycji redukujących przestoje uzasadniona",IF(C36&gt;2000,"▲ Koszt roczny przestojów "&amp;TEXT(C36,"#,##0")&amp;" zł — rozważ priorytetyzację działań TPM","✓ Koszt przestojów na akceptowalnym poziomie — monitoruj trend")))</f>
        <v>brak danych</v>
      </c>
      <c r="D44" s="35" t="str">
        <f>IF(D36="","brak danych",IF(D36&gt;5000,"⚠ Koszt roczny przestojów przekracza 5000 zł/zmianę — analiza ROI dla inwestycji redukujących przestoje uzasadniona",IF(D36&gt;2000,"▲ Koszt roczny przestojów "&amp;TEXT(D36,"#,##0")&amp;" zł — rozważ priorytetyzację działań TPM","✓ Koszt przestojów na akceptowalnym poziomie — monitoruj trend")))</f>
        <v>brak danych</v>
      </c>
      <c r="E44" s="35" t="str">
        <f>IF(E36="","brak danych",IF(E36&gt;5000,"⚠ Koszt roczny przestojów przekracza 5000 zł/zmianę — analiza ROI dla inwestycji redukujących przestoje uzasadniona",IF(E36&gt;2000,"▲ Koszt roczny przestojów "&amp;TEXT(E36,"#,##0")&amp;" zł — rozważ priorytetyzację działań TPM","✓ Koszt przestojów na akceptowalnym poziomie — monitoruj trend")))</f>
        <v>brak danych</v>
      </c>
    </row>
    <row r="45" spans="2:5" ht="6" customHeight="1" x14ac:dyDescent="0.3"/>
    <row r="46" spans="2:5" ht="21.75" customHeight="1" x14ac:dyDescent="0.3">
      <c r="B46" s="4" t="s">
        <v>36</v>
      </c>
      <c r="C46" s="4"/>
      <c r="D46" s="4"/>
      <c r="E46" s="4"/>
    </row>
    <row r="47" spans="2:5" ht="21.75" customHeight="1" x14ac:dyDescent="0.3"/>
    <row r="48" spans="2:5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  <row r="60" ht="21.75" customHeight="1" x14ac:dyDescent="0.3"/>
    <row r="61" ht="21.75" customHeight="1" x14ac:dyDescent="0.3"/>
    <row r="62" ht="21.75" customHeight="1" x14ac:dyDescent="0.3"/>
    <row r="63" ht="21.75" customHeight="1" x14ac:dyDescent="0.3"/>
    <row r="64" ht="21.75" customHeight="1" x14ac:dyDescent="0.3"/>
    <row r="65" ht="21.75" customHeight="1" x14ac:dyDescent="0.3"/>
    <row r="66" ht="21.75" customHeight="1" x14ac:dyDescent="0.3"/>
    <row r="67" ht="21.75" customHeight="1" x14ac:dyDescent="0.3"/>
    <row r="68" ht="21.75" customHeight="1" x14ac:dyDescent="0.3"/>
    <row r="69" ht="21.75" customHeight="1" x14ac:dyDescent="0.3"/>
    <row r="70" ht="21.75" customHeight="1" x14ac:dyDescent="0.3"/>
    <row r="71" ht="21.75" customHeight="1" x14ac:dyDescent="0.3"/>
    <row r="72" ht="21.75" customHeight="1" x14ac:dyDescent="0.3"/>
    <row r="73" ht="21.75" customHeight="1" x14ac:dyDescent="0.3"/>
    <row r="74" ht="21.75" customHeight="1" x14ac:dyDescent="0.3"/>
    <row r="75" ht="21.75" customHeight="1" x14ac:dyDescent="0.3"/>
    <row r="76" ht="21.75" customHeight="1" x14ac:dyDescent="0.3"/>
    <row r="77" ht="21.75" customHeight="1" x14ac:dyDescent="0.3"/>
    <row r="78" ht="21.75" customHeight="1" x14ac:dyDescent="0.3"/>
    <row r="79" ht="21.75" customHeight="1" x14ac:dyDescent="0.3"/>
    <row r="80" ht="21.75" customHeight="1" x14ac:dyDescent="0.3"/>
    <row r="81" ht="21.75" customHeight="1" x14ac:dyDescent="0.3"/>
    <row r="82" ht="21.75" customHeight="1" x14ac:dyDescent="0.3"/>
    <row r="83" ht="21.75" customHeight="1" x14ac:dyDescent="0.3"/>
    <row r="84" ht="21.75" customHeight="1" x14ac:dyDescent="0.3"/>
  </sheetData>
  <mergeCells count="13">
    <mergeCell ref="B38:E38"/>
    <mergeCell ref="B39:E39"/>
    <mergeCell ref="B46:E46"/>
    <mergeCell ref="C9:E9"/>
    <mergeCell ref="C10:E10"/>
    <mergeCell ref="B14:E14"/>
    <mergeCell ref="B23:E23"/>
    <mergeCell ref="B29:E29"/>
    <mergeCell ref="B2:E2"/>
    <mergeCell ref="B3:E3"/>
    <mergeCell ref="B5:E5"/>
    <mergeCell ref="C7:E7"/>
    <mergeCell ref="C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Kalkulator</vt:lpstr>
      <vt:lpstr>Instrukcja</vt:lpstr>
      <vt:lpstr>Analiza strat i OEE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Teodor Doroba</cp:lastModifiedBy>
  <cp:revision>0</cp:revision>
  <dcterms:created xsi:type="dcterms:W3CDTF">2026-03-04T11:34:24Z</dcterms:created>
  <dcterms:modified xsi:type="dcterms:W3CDTF">2026-03-04T16:04:50Z</dcterms:modified>
  <dc:language>en-US</dc:language>
</cp:coreProperties>
</file>